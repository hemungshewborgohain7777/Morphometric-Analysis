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CELCRAFT\Written Text Folder\"/>
    </mc:Choice>
  </mc:AlternateContent>
  <xr:revisionPtr revIDLastSave="0" documentId="13_ncr:1_{30D2E6E9-56BE-4244-9660-0474D7E7DE36}" xr6:coauthVersionLast="47" xr6:coauthVersionMax="47" xr10:uidLastSave="{00000000-0000-0000-0000-000000000000}"/>
  <bookViews>
    <workbookView xWindow="-108" yWindow="-108" windowWidth="23256" windowHeight="13176" xr2:uid="{3665F310-5B5A-451B-BDDE-27A215058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3" i="1"/>
  <c r="B11" i="1"/>
  <c r="B12" i="1"/>
  <c r="B8" i="1"/>
  <c r="B6" i="1"/>
  <c r="B5" i="1"/>
  <c r="C5" i="1"/>
</calcChain>
</file>

<file path=xl/sharedStrings.xml><?xml version="1.0" encoding="utf-8"?>
<sst xmlns="http://schemas.openxmlformats.org/spreadsheetml/2006/main" count="16" uniqueCount="16">
  <si>
    <t>linear aspect</t>
  </si>
  <si>
    <t>Stream Order</t>
  </si>
  <si>
    <t>Stream Length Ratio</t>
  </si>
  <si>
    <t>Stream Length (Lu)</t>
  </si>
  <si>
    <t>Stream No. (Nu)</t>
  </si>
  <si>
    <t>Bifurcation Ratio</t>
  </si>
  <si>
    <t>Perimeter</t>
  </si>
  <si>
    <t>Basin Length</t>
  </si>
  <si>
    <t>Areal Aspect</t>
  </si>
  <si>
    <t>Draiange Density(Dd)</t>
  </si>
  <si>
    <t>Stream Frequency(Fs)</t>
  </si>
  <si>
    <t>Drainage Texture(Dt)</t>
  </si>
  <si>
    <t>Watershed Area</t>
  </si>
  <si>
    <t>Form Factor(Rf)</t>
  </si>
  <si>
    <t>Circulatory Ratio(Rc)</t>
  </si>
  <si>
    <t>Elongation Ratio(Re)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</si>
</sst>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/>
    <xf numFmtId="0" fontId="0" fillId="0" borderId="0" xfId="0" applyBorder="1"/>
    <xf numFmtId="0" fontId="0" fillId="0" borderId="5" xfId="0" applyBorder="1"/>
    <xf numFmtId="0" fontId="0" fillId="3" borderId="6" xfId="0" applyFill="1" applyBorder="1"/>
    <xf numFmtId="0" fontId="0" fillId="0" borderId="7" xfId="0" applyBorder="1"/>
    <xf numFmtId="0" fontId="0" fillId="0" borderId="8" xfId="0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11B2-D3EC-4311-9F80-1019F666BF8C}">
  <dimension ref="A1:F17"/>
  <sheetViews>
    <sheetView tabSelected="1" workbookViewId="0">
      <selection activeCell="I19" sqref="I19"/>
    </sheetView>
  </sheetViews>
  <sheetFormatPr defaultRowHeight="14.4" x14ac:dyDescent="0.3"/>
  <cols>
    <col min="1" max="1" width="19.88671875" customWidth="1"/>
  </cols>
  <sheetData>
    <row r="1" spans="1:6" x14ac:dyDescent="0.3">
      <c r="A1" s="1" t="s">
        <v>0</v>
      </c>
      <c r="B1" s="2"/>
      <c r="C1" s="2"/>
      <c r="D1" s="2"/>
      <c r="E1" s="2"/>
      <c r="F1" s="3"/>
    </row>
    <row r="2" spans="1:6" x14ac:dyDescent="0.3">
      <c r="A2" s="4" t="s">
        <v>1</v>
      </c>
      <c r="B2" s="5">
        <v>1</v>
      </c>
      <c r="C2" s="5">
        <v>2</v>
      </c>
      <c r="D2" s="5"/>
      <c r="E2" s="5"/>
      <c r="F2" s="6"/>
    </row>
    <row r="3" spans="1:6" x14ac:dyDescent="0.3">
      <c r="A3" s="4" t="s">
        <v>3</v>
      </c>
      <c r="B3" s="5">
        <v>173.46049600000001</v>
      </c>
      <c r="C3" s="5">
        <v>33.291001999999999</v>
      </c>
      <c r="D3" s="5"/>
      <c r="E3" s="5"/>
      <c r="F3" s="6"/>
    </row>
    <row r="4" spans="1:6" x14ac:dyDescent="0.3">
      <c r="A4" s="4" t="s">
        <v>4</v>
      </c>
      <c r="B4" s="5">
        <v>5</v>
      </c>
      <c r="C4" s="5">
        <v>4</v>
      </c>
      <c r="D4" s="5"/>
      <c r="E4" s="5"/>
      <c r="F4" s="6"/>
    </row>
    <row r="5" spans="1:6" x14ac:dyDescent="0.3">
      <c r="A5" s="4" t="s">
        <v>2</v>
      </c>
      <c r="B5" s="5">
        <f>0/B3</f>
        <v>0</v>
      </c>
      <c r="C5" s="5">
        <f>C3/B3</f>
        <v>0.19192267269891813</v>
      </c>
      <c r="D5" s="5"/>
      <c r="E5" s="5"/>
      <c r="F5" s="6"/>
    </row>
    <row r="6" spans="1:6" x14ac:dyDescent="0.3">
      <c r="A6" s="4" t="s">
        <v>5</v>
      </c>
      <c r="B6" s="5">
        <f>B4/C4</f>
        <v>1.25</v>
      </c>
      <c r="C6" s="5">
        <v>0</v>
      </c>
      <c r="D6" s="5"/>
      <c r="E6" s="5"/>
      <c r="F6" s="6"/>
    </row>
    <row r="7" spans="1:6" x14ac:dyDescent="0.3">
      <c r="A7" s="4" t="s">
        <v>6</v>
      </c>
      <c r="B7" s="5">
        <v>348.49289800000003</v>
      </c>
      <c r="C7" s="5"/>
      <c r="D7" s="5"/>
      <c r="E7" s="5"/>
      <c r="F7" s="6"/>
    </row>
    <row r="8" spans="1:6" ht="15" thickBot="1" x14ac:dyDescent="0.35">
      <c r="A8" s="7" t="s">
        <v>7</v>
      </c>
      <c r="B8" s="8">
        <f>82879.623267/1000</f>
        <v>82.879623266999999</v>
      </c>
      <c r="C8" s="8"/>
      <c r="D8" s="8"/>
      <c r="E8" s="8"/>
      <c r="F8" s="9"/>
    </row>
    <row r="9" spans="1:6" ht="15" thickBot="1" x14ac:dyDescent="0.35"/>
    <row r="10" spans="1:6" x14ac:dyDescent="0.3">
      <c r="A10" s="10" t="s">
        <v>8</v>
      </c>
      <c r="B10" s="11"/>
      <c r="C10" s="11"/>
      <c r="D10" s="11"/>
      <c r="E10" s="11"/>
      <c r="F10" s="12"/>
    </row>
    <row r="11" spans="1:6" x14ac:dyDescent="0.3">
      <c r="A11" s="4" t="s">
        <v>9</v>
      </c>
      <c r="B11" s="5">
        <f>(B3+C3)/B14</f>
        <v>0.14218197802164914</v>
      </c>
      <c r="C11" s="5"/>
      <c r="D11" s="5"/>
      <c r="E11" s="5"/>
      <c r="F11" s="6"/>
    </row>
    <row r="12" spans="1:6" x14ac:dyDescent="0.3">
      <c r="A12" s="4" t="s">
        <v>10</v>
      </c>
      <c r="B12" s="5">
        <f>9/1454.132942</f>
        <v>6.1892552874990162E-3</v>
      </c>
      <c r="C12" s="5"/>
      <c r="D12" s="5"/>
      <c r="E12" s="5"/>
      <c r="F12" s="6"/>
    </row>
    <row r="13" spans="1:6" x14ac:dyDescent="0.3">
      <c r="A13" s="4" t="s">
        <v>11</v>
      </c>
      <c r="B13" s="5">
        <f>9/B7</f>
        <v>2.5825490423624069E-2</v>
      </c>
      <c r="C13" s="5"/>
      <c r="D13" s="5"/>
      <c r="E13" s="5"/>
      <c r="F13" s="6"/>
    </row>
    <row r="14" spans="1:6" x14ac:dyDescent="0.3">
      <c r="A14" s="4" t="s">
        <v>12</v>
      </c>
      <c r="B14" s="5">
        <v>1454.132942</v>
      </c>
      <c r="C14" s="5"/>
      <c r="D14" s="5"/>
      <c r="E14" s="5"/>
      <c r="F14" s="6"/>
    </row>
    <row r="15" spans="1:6" x14ac:dyDescent="0.3">
      <c r="A15" s="4" t="s">
        <v>13</v>
      </c>
      <c r="B15" s="5">
        <f>B14/(B8^2)</f>
        <v>0.2116940133595322</v>
      </c>
      <c r="C15" s="5"/>
      <c r="D15" s="5"/>
      <c r="E15" s="5"/>
      <c r="F15" s="6"/>
    </row>
    <row r="16" spans="1:6" x14ac:dyDescent="0.3">
      <c r="A16" s="4" t="s">
        <v>14</v>
      </c>
      <c r="B16" s="5">
        <f>(4*3.14*B14)/(B7*B7)</f>
        <v>0.15038547384808909</v>
      </c>
      <c r="C16" s="5"/>
      <c r="D16" s="5"/>
      <c r="E16" s="5"/>
      <c r="F16" s="6"/>
    </row>
    <row r="17" spans="1:6" ht="15" thickBot="1" x14ac:dyDescent="0.35">
      <c r="A17" s="7" t="s">
        <v>15</v>
      </c>
      <c r="B17" s="8">
        <v>0.51919999999999999</v>
      </c>
      <c r="C17" s="8"/>
      <c r="D17" s="8"/>
      <c r="E17" s="8"/>
      <c r="F17" s="9"/>
    </row>
  </sheetData>
  <mergeCells count="2">
    <mergeCell ref="A1:F1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Hemungshew Borgohain</dc:creator>
  <cp:lastModifiedBy>Hemungshew Borgohain</cp:lastModifiedBy>
  <dcterms:created xsi:type="dcterms:W3CDTF">2025-08-19T05:22:06Z</dcterms:created>
  <dcterms:modified xsi:type="dcterms:W3CDTF">2026-01-03T13:55:21Z</dcterms:modified>
</cp:coreProperties>
</file>